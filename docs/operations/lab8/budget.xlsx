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338f4cebca4b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" sheetId="1" r:id="Rf526887a00d84369"/>
    <x:sheet xmlns:r="http://schemas.openxmlformats.org/officeDocument/2006/relationships" name="TCO" sheetId="2" r:id="R0dbbd4abd4cd4c0f"/>
    <x:sheet xmlns:r="http://schemas.openxmlformats.org/officeDocument/2006/relationships" name="Inputs" sheetId="3" r:id="R402d7b81bbce4a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"/>
    <x:numFmt numFmtId="202" formatCode="0%"/>
  </x:numFmts>
  <x:fonts count="8">
    <x:font>
      <x:sz val="11"/>
      <x:name val="Carlito"/>
    </x:font>
    <x:font>
      <x:sz val="11"/>
      <x:name val="Arial"/>
    </x:font>
    <x:font>
      <x:sz val="15"/>
      <x:name val="Arial"/>
    </x:font>
    <x:font>
      <x:b/>
      <x:sz val="15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name val="Arial"/>
    </x:font>
    <x:font>
      <x:sz val="11"/>
      <x:color rgb="FF1565C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23E58"/>
      </x:patternFill>
    </x:fill>
    <x:fill>
      <x:patternFill patternType="solid">
        <x:fgColor rgb="FFE3EA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23256779d3412a" /><Relationship Type="http://schemas.openxmlformats.org/officeDocument/2006/relationships/theme" Target="/xl/theme/theme1.xml" Id="Rcff976c635964de0" /><Relationship Type="http://schemas.openxmlformats.org/officeDocument/2006/relationships/sharedStrings" Target="/xl/sharedStrings.xml" Id="R3ef562fd4309446e" /><Relationship Type="http://schemas.openxmlformats.org/officeDocument/2006/relationships/worksheet" Target="/xl/worksheets/sheet1.xml" Id="Rf526887a00d84369" /><Relationship Type="http://schemas.openxmlformats.org/officeDocument/2006/relationships/worksheet" Target="/xl/worksheets/sheet2.xml" Id="R0dbbd4abd4cd4c0f" /><Relationship Type="http://schemas.openxmlformats.org/officeDocument/2006/relationships/worksheet" Target="/xl/worksheets/sheet3.xml" Id="R402d7b81bbce4a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2" ht="25" customHeight="1">
      <x:c r="A2" s="4" t="str">
        <x:v>AI English Analyzer 12 айлық бюджет — теңге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32" customHeight="1">
      <x:c r="A4" s="9" t="str">
        <x:v>Ай</x:v>
      </x:c>
      <x:c r="B4" s="9" t="str">
        <x:v>MAU</x:v>
      </x:c>
      <x:c r="C4" s="9" t="str">
        <x:v>Операция</x:v>
      </x:c>
      <x:c r="D4" s="9" t="str">
        <x:v>Тұрақты</x:v>
      </x:c>
      <x:c r="E4" s="9" t="str">
        <x:v>AI API</x:v>
      </x:c>
      <x:c r="F4" s="9" t="str">
        <x:v>Тексеру</x:v>
      </x:c>
      <x:c r="G4" s="9" t="str">
        <x:v>Іске қосу</x:v>
      </x:c>
      <x:c r="H4" s="9" t="str">
        <x:v>Негізгі</x:v>
      </x:c>
      <x:c r="I4" s="9" t="str">
        <x:v>Резерв</x:v>
      </x:c>
      <x:c r="J4" s="9" t="str">
        <x:v>Жиыны</x:v>
      </x:c>
      <x:c r="K4" s="9" t="str">
        <x:v>Қолмен</x:v>
      </x:c>
    </x:row>
    <x:row r="5" ht="25" customHeight="1">
      <x:c r="A5" s="2" t="str">
        <x:v>2027-02</x:v>
      </x:c>
      <x:c r="B5" s="6" t="n">
        <x:f>'Inputs'!B5</x:f>
        <x:v>100</x:v>
      </x:c>
      <x:c r="C5" s="6" t="n">
        <x:f>B5*'Inputs'!B6</x:f>
        <x:v>2000</x:v>
      </x:c>
      <x:c r="D5" s="5" t="n">
        <x:f>'Inputs'!B7*'Inputs'!B8+'Inputs'!B9*'Inputs'!B10+'Inputs'!B11*'Inputs'!B12+'Inputs'!B13+'Inputs'!B14+'Inputs'!B15/12+'Inputs'!B16*'Inputs'!B17</x:f>
        <x:v>66753.33333333334</x:v>
      </x:c>
      <x:c r="E5" s="5" t="n">
        <x:f>C5*'Inputs'!B18</x:f>
        <x:v>10000</x:v>
      </x:c>
      <x:c r="F5" s="5" t="n">
        <x:f>C5*'Inputs'!B19/60*'Inputs'!B16</x:f>
        <x:v>50000</x:v>
      </x:c>
      <x:c r="G5" s="5" t="n">
        <x:f>'Inputs'!B21*'Inputs'!B16</x:f>
        <x:v>36000</x:v>
      </x:c>
      <x:c r="H5" s="5" t="n">
        <x:f>SUM(D5:G5)</x:f>
        <x:v>162753.33333333334</x:v>
      </x:c>
      <x:c r="I5" s="5" t="n">
        <x:f>H5*'Inputs'!B22</x:f>
        <x:v>16275.333333333336</x:v>
      </x:c>
      <x:c r="J5" s="5" t="n">
        <x:f>SUM(H5:I5)</x:f>
        <x:v>179028.6666666667</x:v>
      </x:c>
      <x:c r="K5" s="5" t="n">
        <x:f>C5*'Inputs'!B20/60*'Inputs'!B16</x:f>
        <x:v>400000</x:v>
      </x:c>
    </x:row>
    <x:row r="6" ht="25" customHeight="1">
      <x:c r="A6" s="2" t="str">
        <x:v>2027-03</x:v>
      </x:c>
      <x:c r="B6" s="6" t="n">
        <x:f>'Inputs'!B5</x:f>
        <x:v>100</x:v>
      </x:c>
      <x:c r="C6" s="6" t="n">
        <x:f>B6*'Inputs'!B6</x:f>
        <x:v>2000</x:v>
      </x:c>
      <x:c r="D6" s="5" t="n">
        <x:f>'Inputs'!B7*'Inputs'!B8+'Inputs'!B9*'Inputs'!B10+'Inputs'!B11*'Inputs'!B12+'Inputs'!B13+'Inputs'!B14+'Inputs'!B15/12+'Inputs'!B16*'Inputs'!B17</x:f>
        <x:v>66753.33333333334</x:v>
      </x:c>
      <x:c r="E6" s="5" t="n">
        <x:f>C6*'Inputs'!B18</x:f>
        <x:v>10000</x:v>
      </x:c>
      <x:c r="F6" s="5" t="n">
        <x:f>C6*'Inputs'!B19/60*'Inputs'!B16</x:f>
        <x:v>50000</x:v>
      </x:c>
      <x:c r="G6" s="5" t="n">
        <x:f>0</x:f>
        <x:v>0</x:v>
      </x:c>
      <x:c r="H6" s="5" t="n">
        <x:f>SUM(D6:G6)</x:f>
        <x:v>126753.33333333334</x:v>
      </x:c>
      <x:c r="I6" s="5" t="n">
        <x:f>H6*'Inputs'!B22</x:f>
        <x:v>12675.333333333336</x:v>
      </x:c>
      <x:c r="J6" s="5" t="n">
        <x:f>SUM(H6:I6)</x:f>
        <x:v>139428.6666666667</x:v>
      </x:c>
      <x:c r="K6" s="5" t="n">
        <x:f>C6*'Inputs'!B20/60*'Inputs'!B16</x:f>
        <x:v>400000</x:v>
      </x:c>
    </x:row>
    <x:row r="7" ht="25" customHeight="1">
      <x:c r="A7" s="2" t="str">
        <x:v>2027-04</x:v>
      </x:c>
      <x:c r="B7" s="6" t="n">
        <x:f>'Inputs'!B5</x:f>
        <x:v>100</x:v>
      </x:c>
      <x:c r="C7" s="6" t="n">
        <x:f>B7*'Inputs'!B6</x:f>
        <x:v>2000</x:v>
      </x:c>
      <x:c r="D7" s="5" t="n">
        <x:f>'Inputs'!B7*'Inputs'!B8+'Inputs'!B9*'Inputs'!B10+'Inputs'!B11*'Inputs'!B12+'Inputs'!B13+'Inputs'!B14+'Inputs'!B15/12+'Inputs'!B16*'Inputs'!B17</x:f>
        <x:v>66753.33333333334</x:v>
      </x:c>
      <x:c r="E7" s="5" t="n">
        <x:f>C7*'Inputs'!B18</x:f>
        <x:v>10000</x:v>
      </x:c>
      <x:c r="F7" s="5" t="n">
        <x:f>C7*'Inputs'!B19/60*'Inputs'!B16</x:f>
        <x:v>50000</x:v>
      </x:c>
      <x:c r="G7" s="5" t="n">
        <x:f>0</x:f>
        <x:v>0</x:v>
      </x:c>
      <x:c r="H7" s="5" t="n">
        <x:f>SUM(D7:G7)</x:f>
        <x:v>126753.33333333334</x:v>
      </x:c>
      <x:c r="I7" s="5" t="n">
        <x:f>H7*'Inputs'!B22</x:f>
        <x:v>12675.333333333336</x:v>
      </x:c>
      <x:c r="J7" s="5" t="n">
        <x:f>SUM(H7:I7)</x:f>
        <x:v>139428.6666666667</x:v>
      </x:c>
      <x:c r="K7" s="5" t="n">
        <x:f>C7*'Inputs'!B20/60*'Inputs'!B16</x:f>
        <x:v>400000</x:v>
      </x:c>
    </x:row>
    <x:row r="8" ht="25" customHeight="1">
      <x:c r="A8" s="2" t="str">
        <x:v>2027-05</x:v>
      </x:c>
      <x:c r="B8" s="6" t="n">
        <x:f>'Inputs'!B5</x:f>
        <x:v>100</x:v>
      </x:c>
      <x:c r="C8" s="6" t="n">
        <x:f>B8*'Inputs'!B6</x:f>
        <x:v>2000</x:v>
      </x:c>
      <x:c r="D8" s="5" t="n">
        <x:f>'Inputs'!B7*'Inputs'!B8+'Inputs'!B9*'Inputs'!B10+'Inputs'!B11*'Inputs'!B12+'Inputs'!B13+'Inputs'!B14+'Inputs'!B15/12+'Inputs'!B16*'Inputs'!B17</x:f>
        <x:v>66753.33333333334</x:v>
      </x:c>
      <x:c r="E8" s="5" t="n">
        <x:f>C8*'Inputs'!B18</x:f>
        <x:v>10000</x:v>
      </x:c>
      <x:c r="F8" s="5" t="n">
        <x:f>C8*'Inputs'!B19/60*'Inputs'!B16</x:f>
        <x:v>50000</x:v>
      </x:c>
      <x:c r="G8" s="5" t="n">
        <x:f>0</x:f>
        <x:v>0</x:v>
      </x:c>
      <x:c r="H8" s="5" t="n">
        <x:f>SUM(D8:G8)</x:f>
        <x:v>126753.33333333334</x:v>
      </x:c>
      <x:c r="I8" s="5" t="n">
        <x:f>H8*'Inputs'!B22</x:f>
        <x:v>12675.333333333336</x:v>
      </x:c>
      <x:c r="J8" s="5" t="n">
        <x:f>SUM(H8:I8)</x:f>
        <x:v>139428.6666666667</x:v>
      </x:c>
      <x:c r="K8" s="5" t="n">
        <x:f>C8*'Inputs'!B20/60*'Inputs'!B16</x:f>
        <x:v>400000</x:v>
      </x:c>
    </x:row>
    <x:row r="9" ht="25" customHeight="1">
      <x:c r="A9" s="2" t="str">
        <x:v>2027-06</x:v>
      </x:c>
      <x:c r="B9" s="6" t="n">
        <x:f>'Inputs'!B5</x:f>
        <x:v>100</x:v>
      </x:c>
      <x:c r="C9" s="6" t="n">
        <x:f>B9*'Inputs'!B6</x:f>
        <x:v>2000</x:v>
      </x:c>
      <x:c r="D9" s="5" t="n">
        <x:f>'Inputs'!B7*'Inputs'!B8+'Inputs'!B9*'Inputs'!B10+'Inputs'!B11*'Inputs'!B12+'Inputs'!B13+'Inputs'!B14+'Inputs'!B15/12+'Inputs'!B16*'Inputs'!B17</x:f>
        <x:v>66753.33333333334</x:v>
      </x:c>
      <x:c r="E9" s="5" t="n">
        <x:f>C9*'Inputs'!B18</x:f>
        <x:v>10000</x:v>
      </x:c>
      <x:c r="F9" s="5" t="n">
        <x:f>C9*'Inputs'!B19/60*'Inputs'!B16</x:f>
        <x:v>50000</x:v>
      </x:c>
      <x:c r="G9" s="5" t="n">
        <x:f>0</x:f>
        <x:v>0</x:v>
      </x:c>
      <x:c r="H9" s="5" t="n">
        <x:f>SUM(D9:G9)</x:f>
        <x:v>126753.33333333334</x:v>
      </x:c>
      <x:c r="I9" s="5" t="n">
        <x:f>H9*'Inputs'!B22</x:f>
        <x:v>12675.333333333336</x:v>
      </x:c>
      <x:c r="J9" s="5" t="n">
        <x:f>SUM(H9:I9)</x:f>
        <x:v>139428.6666666667</x:v>
      </x:c>
      <x:c r="K9" s="5" t="n">
        <x:f>C9*'Inputs'!B20/60*'Inputs'!B16</x:f>
        <x:v>400000</x:v>
      </x:c>
    </x:row>
    <x:row r="10" ht="25" customHeight="1">
      <x:c r="A10" s="2" t="str">
        <x:v>2027-07</x:v>
      </x:c>
      <x:c r="B10" s="6" t="n">
        <x:f>'Inputs'!B5</x:f>
        <x:v>100</x:v>
      </x:c>
      <x:c r="C10" s="6" t="n">
        <x:f>B10*'Inputs'!B6</x:f>
        <x:v>2000</x:v>
      </x:c>
      <x:c r="D10" s="5" t="n">
        <x:f>'Inputs'!B7*'Inputs'!B8+'Inputs'!B9*'Inputs'!B10+'Inputs'!B11*'Inputs'!B12+'Inputs'!B13+'Inputs'!B14+'Inputs'!B15/12+'Inputs'!B16*'Inputs'!B17</x:f>
        <x:v>66753.33333333334</x:v>
      </x:c>
      <x:c r="E10" s="5" t="n">
        <x:f>C10*'Inputs'!B18</x:f>
        <x:v>10000</x:v>
      </x:c>
      <x:c r="F10" s="5" t="n">
        <x:f>C10*'Inputs'!B19/60*'Inputs'!B16</x:f>
        <x:v>50000</x:v>
      </x:c>
      <x:c r="G10" s="5" t="n">
        <x:f>0</x:f>
        <x:v>0</x:v>
      </x:c>
      <x:c r="H10" s="5" t="n">
        <x:f>SUM(D10:G10)</x:f>
        <x:v>126753.33333333334</x:v>
      </x:c>
      <x:c r="I10" s="5" t="n">
        <x:f>H10*'Inputs'!B22</x:f>
        <x:v>12675.333333333336</x:v>
      </x:c>
      <x:c r="J10" s="5" t="n">
        <x:f>SUM(H10:I10)</x:f>
        <x:v>139428.6666666667</x:v>
      </x:c>
      <x:c r="K10" s="5" t="n">
        <x:f>C10*'Inputs'!B20/60*'Inputs'!B16</x:f>
        <x:v>400000</x:v>
      </x:c>
    </x:row>
    <x:row r="11" ht="25" customHeight="1">
      <x:c r="A11" s="2" t="str">
        <x:v>2027-08</x:v>
      </x:c>
      <x:c r="B11" s="6" t="n">
        <x:f>'Inputs'!B5</x:f>
        <x:v>100</x:v>
      </x:c>
      <x:c r="C11" s="6" t="n">
        <x:f>B11*'Inputs'!B6</x:f>
        <x:v>2000</x:v>
      </x:c>
      <x:c r="D11" s="5" t="n">
        <x:f>'Inputs'!B7*'Inputs'!B8+'Inputs'!B9*'Inputs'!B10+'Inputs'!B11*'Inputs'!B12+'Inputs'!B13+'Inputs'!B14+'Inputs'!B15/12+'Inputs'!B16*'Inputs'!B17</x:f>
        <x:v>66753.33333333334</x:v>
      </x:c>
      <x:c r="E11" s="5" t="n">
        <x:f>C11*'Inputs'!B18</x:f>
        <x:v>10000</x:v>
      </x:c>
      <x:c r="F11" s="5" t="n">
        <x:f>C11*'Inputs'!B19/60*'Inputs'!B16</x:f>
        <x:v>50000</x:v>
      </x:c>
      <x:c r="G11" s="5" t="n">
        <x:f>0</x:f>
        <x:v>0</x:v>
      </x:c>
      <x:c r="H11" s="5" t="n">
        <x:f>SUM(D11:G11)</x:f>
        <x:v>126753.33333333334</x:v>
      </x:c>
      <x:c r="I11" s="5" t="n">
        <x:f>H11*'Inputs'!B22</x:f>
        <x:v>12675.333333333336</x:v>
      </x:c>
      <x:c r="J11" s="5" t="n">
        <x:f>SUM(H11:I11)</x:f>
        <x:v>139428.6666666667</x:v>
      </x:c>
      <x:c r="K11" s="5" t="n">
        <x:f>C11*'Inputs'!B20/60*'Inputs'!B16</x:f>
        <x:v>400000</x:v>
      </x:c>
    </x:row>
    <x:row r="12" ht="25" customHeight="1">
      <x:c r="A12" s="2" t="str">
        <x:v>2027-09</x:v>
      </x:c>
      <x:c r="B12" s="6" t="n">
        <x:f>'Inputs'!B5</x:f>
        <x:v>100</x:v>
      </x:c>
      <x:c r="C12" s="6" t="n">
        <x:f>B12*'Inputs'!B6</x:f>
        <x:v>2000</x:v>
      </x:c>
      <x:c r="D12" s="5" t="n">
        <x:f>'Inputs'!B7*'Inputs'!B8+'Inputs'!B9*'Inputs'!B10+'Inputs'!B11*'Inputs'!B12+'Inputs'!B13+'Inputs'!B14+'Inputs'!B15/12+'Inputs'!B16*'Inputs'!B17</x:f>
        <x:v>66753.33333333334</x:v>
      </x:c>
      <x:c r="E12" s="5" t="n">
        <x:f>C12*'Inputs'!B18</x:f>
        <x:v>10000</x:v>
      </x:c>
      <x:c r="F12" s="5" t="n">
        <x:f>C12*'Inputs'!B19/60*'Inputs'!B16</x:f>
        <x:v>50000</x:v>
      </x:c>
      <x:c r="G12" s="5" t="n">
        <x:f>0</x:f>
        <x:v>0</x:v>
      </x:c>
      <x:c r="H12" s="5" t="n">
        <x:f>SUM(D12:G12)</x:f>
        <x:v>126753.33333333334</x:v>
      </x:c>
      <x:c r="I12" s="5" t="n">
        <x:f>H12*'Inputs'!B22</x:f>
        <x:v>12675.333333333336</x:v>
      </x:c>
      <x:c r="J12" s="5" t="n">
        <x:f>SUM(H12:I12)</x:f>
        <x:v>139428.6666666667</x:v>
      </x:c>
      <x:c r="K12" s="5" t="n">
        <x:f>C12*'Inputs'!B20/60*'Inputs'!B16</x:f>
        <x:v>400000</x:v>
      </x:c>
    </x:row>
    <x:row r="13" ht="25" customHeight="1">
      <x:c r="A13" s="2" t="str">
        <x:v>2027-10</x:v>
      </x:c>
      <x:c r="B13" s="6" t="n">
        <x:f>'Inputs'!B5</x:f>
        <x:v>100</x:v>
      </x:c>
      <x:c r="C13" s="6" t="n">
        <x:f>B13*'Inputs'!B6</x:f>
        <x:v>2000</x:v>
      </x:c>
      <x:c r="D13" s="5" t="n">
        <x:f>'Inputs'!B7*'Inputs'!B8+'Inputs'!B9*'Inputs'!B10+'Inputs'!B11*'Inputs'!B12+'Inputs'!B13+'Inputs'!B14+'Inputs'!B15/12+'Inputs'!B16*'Inputs'!B17</x:f>
        <x:v>66753.33333333334</x:v>
      </x:c>
      <x:c r="E13" s="5" t="n">
        <x:f>C13*'Inputs'!B18</x:f>
        <x:v>10000</x:v>
      </x:c>
      <x:c r="F13" s="5" t="n">
        <x:f>C13*'Inputs'!B19/60*'Inputs'!B16</x:f>
        <x:v>50000</x:v>
      </x:c>
      <x:c r="G13" s="5" t="n">
        <x:f>0</x:f>
        <x:v>0</x:v>
      </x:c>
      <x:c r="H13" s="5" t="n">
        <x:f>SUM(D13:G13)</x:f>
        <x:v>126753.33333333334</x:v>
      </x:c>
      <x:c r="I13" s="5" t="n">
        <x:f>H13*'Inputs'!B22</x:f>
        <x:v>12675.333333333336</x:v>
      </x:c>
      <x:c r="J13" s="5" t="n">
        <x:f>SUM(H13:I13)</x:f>
        <x:v>139428.6666666667</x:v>
      </x:c>
      <x:c r="K13" s="5" t="n">
        <x:f>C13*'Inputs'!B20/60*'Inputs'!B16</x:f>
        <x:v>400000</x:v>
      </x:c>
    </x:row>
    <x:row r="14" ht="25" customHeight="1">
      <x:c r="A14" s="2" t="str">
        <x:v>2027-11</x:v>
      </x:c>
      <x:c r="B14" s="6" t="n">
        <x:f>'Inputs'!B5</x:f>
        <x:v>100</x:v>
      </x:c>
      <x:c r="C14" s="6" t="n">
        <x:f>B14*'Inputs'!B6</x:f>
        <x:v>2000</x:v>
      </x:c>
      <x:c r="D14" s="5" t="n">
        <x:f>'Inputs'!B7*'Inputs'!B8+'Inputs'!B9*'Inputs'!B10+'Inputs'!B11*'Inputs'!B12+'Inputs'!B13+'Inputs'!B14+'Inputs'!B15/12+'Inputs'!B16*'Inputs'!B17</x:f>
        <x:v>66753.33333333334</x:v>
      </x:c>
      <x:c r="E14" s="5" t="n">
        <x:f>C14*'Inputs'!B18</x:f>
        <x:v>10000</x:v>
      </x:c>
      <x:c r="F14" s="5" t="n">
        <x:f>C14*'Inputs'!B19/60*'Inputs'!B16</x:f>
        <x:v>50000</x:v>
      </x:c>
      <x:c r="G14" s="5" t="n">
        <x:f>0</x:f>
        <x:v>0</x:v>
      </x:c>
      <x:c r="H14" s="5" t="n">
        <x:f>SUM(D14:G14)</x:f>
        <x:v>126753.33333333334</x:v>
      </x:c>
      <x:c r="I14" s="5" t="n">
        <x:f>H14*'Inputs'!B22</x:f>
        <x:v>12675.333333333336</x:v>
      </x:c>
      <x:c r="J14" s="5" t="n">
        <x:f>SUM(H14:I14)</x:f>
        <x:v>139428.6666666667</x:v>
      </x:c>
      <x:c r="K14" s="5" t="n">
        <x:f>C14*'Inputs'!B20/60*'Inputs'!B16</x:f>
        <x:v>400000</x:v>
      </x:c>
    </x:row>
    <x:row r="15" ht="25" customHeight="1">
      <x:c r="A15" s="2" t="str">
        <x:v>2027-12</x:v>
      </x:c>
      <x:c r="B15" s="6" t="n">
        <x:f>'Inputs'!B5</x:f>
        <x:v>100</x:v>
      </x:c>
      <x:c r="C15" s="6" t="n">
        <x:f>B15*'Inputs'!B6</x:f>
        <x:v>2000</x:v>
      </x:c>
      <x:c r="D15" s="5" t="n">
        <x:f>'Inputs'!B7*'Inputs'!B8+'Inputs'!B9*'Inputs'!B10+'Inputs'!B11*'Inputs'!B12+'Inputs'!B13+'Inputs'!B14+'Inputs'!B15/12+'Inputs'!B16*'Inputs'!B17</x:f>
        <x:v>66753.33333333334</x:v>
      </x:c>
      <x:c r="E15" s="5" t="n">
        <x:f>C15*'Inputs'!B18</x:f>
        <x:v>10000</x:v>
      </x:c>
      <x:c r="F15" s="5" t="n">
        <x:f>C15*'Inputs'!B19/60*'Inputs'!B16</x:f>
        <x:v>50000</x:v>
      </x:c>
      <x:c r="G15" s="5" t="n">
        <x:f>0</x:f>
        <x:v>0</x:v>
      </x:c>
      <x:c r="H15" s="5" t="n">
        <x:f>SUM(D15:G15)</x:f>
        <x:v>126753.33333333334</x:v>
      </x:c>
      <x:c r="I15" s="5" t="n">
        <x:f>H15*'Inputs'!B22</x:f>
        <x:v>12675.333333333336</x:v>
      </x:c>
      <x:c r="J15" s="5" t="n">
        <x:f>SUM(H15:I15)</x:f>
        <x:v>139428.6666666667</x:v>
      </x:c>
      <x:c r="K15" s="5" t="n">
        <x:f>C15*'Inputs'!B20/60*'Inputs'!B16</x:f>
        <x:v>400000</x:v>
      </x:c>
    </x:row>
    <x:row r="16" ht="25" customHeight="1">
      <x:c r="A16" s="2" t="str">
        <x:v>2028-01</x:v>
      </x:c>
      <x:c r="B16" s="6" t="n">
        <x:f>'Inputs'!B5</x:f>
        <x:v>100</x:v>
      </x:c>
      <x:c r="C16" s="6" t="n">
        <x:f>B16*'Inputs'!B6</x:f>
        <x:v>2000</x:v>
      </x:c>
      <x:c r="D16" s="5" t="n">
        <x:f>'Inputs'!B7*'Inputs'!B8+'Inputs'!B9*'Inputs'!B10+'Inputs'!B11*'Inputs'!B12+'Inputs'!B13+'Inputs'!B14+'Inputs'!B15/12+'Inputs'!B16*'Inputs'!B17</x:f>
        <x:v>66753.33333333334</x:v>
      </x:c>
      <x:c r="E16" s="5" t="n">
        <x:f>C16*'Inputs'!B18</x:f>
        <x:v>10000</x:v>
      </x:c>
      <x:c r="F16" s="5" t="n">
        <x:f>C16*'Inputs'!B19/60*'Inputs'!B16</x:f>
        <x:v>50000</x:v>
      </x:c>
      <x:c r="G16" s="5" t="n">
        <x:f>0</x:f>
        <x:v>0</x:v>
      </x:c>
      <x:c r="H16" s="5" t="n">
        <x:f>SUM(D16:G16)</x:f>
        <x:v>126753.33333333334</x:v>
      </x:c>
      <x:c r="I16" s="5" t="n">
        <x:f>H16*'Inputs'!B22</x:f>
        <x:v>12675.333333333336</x:v>
      </x:c>
      <x:c r="J16" s="5" t="n">
        <x:f>SUM(H16:I16)</x:f>
        <x:v>139428.6666666667</x:v>
      </x:c>
      <x:c r="K16" s="5" t="n">
        <x:f>C16*'Inputs'!B20/60*'Inputs'!B16</x:f>
        <x:v>400000</x:v>
      </x:c>
    </x:row>
    <x:row r="17" ht="25" customHeight="1">
      <x:c r="A17" s="13" t="str">
        <x:v>12 ай</x:v>
      </x:c>
      <x:c r="B17" s="14" t="n">
        <x:f>SUM(B5:B16)</x:f>
        <x:v>1200</x:v>
      </x:c>
      <x:c r="C17" s="14" t="n">
        <x:f>SUM(C5:C16)</x:f>
        <x:v>24000</x:v>
      </x:c>
      <x:c r="D17" s="15" t="n">
        <x:f>SUM(D5:D16)</x:f>
        <x:v>801040.0000000003</x:v>
      </x:c>
      <x:c r="E17" s="15" t="n">
        <x:f>SUM(E5:E16)</x:f>
        <x:v>120000</x:v>
      </x:c>
      <x:c r="F17" s="15" t="n">
        <x:f>SUM(F5:F16)</x:f>
        <x:v>600000</x:v>
      </x:c>
      <x:c r="G17" s="15" t="n">
        <x:f>SUM(G5:G16)</x:f>
        <x:v>36000</x:v>
      </x:c>
      <x:c r="H17" s="15" t="n">
        <x:f>SUM(H5:H16)</x:f>
        <x:v>1557039.9999999998</x:v>
      </x:c>
      <x:c r="I17" s="15" t="n">
        <x:f>SUM(I5:I16)</x:f>
        <x:v>155704.0000000001</x:v>
      </x:c>
      <x:c r="J17" s="15" t="n">
        <x:f>SUM(J5:J16)</x:f>
        <x:v>1712744.0000000007</x:v>
      </x:c>
      <x:c r="K17" s="15" t="n">
        <x:f>SUM(K5:K16)</x:f>
        <x:v>4800000</x:v>
      </x:c>
    </x:row>
    <x:row r="18" ht="25" customHeight="1">
      <x:c r="A18" s="2"/>
      <x:c r="B18" s="5"/>
      <x:c r="C18" s="5"/>
      <x:c r="D18" s="5"/>
      <x:c r="E18" s="5"/>
      <x:c r="F18" s="5"/>
      <x:c r="G18" s="5"/>
      <x:c r="H18" s="5"/>
      <x:c r="I18" s="5"/>
      <x:c r="J18" s="5"/>
      <x:c r="K18" s="5"/>
    </x:row>
    <x:row r="19" ht="25" customHeight="1">
      <x:c r="A19" s="2"/>
      <x:c r="B19" s="5"/>
      <x:c r="C19" s="5"/>
      <x:c r="D19" s="5"/>
      <x:c r="E19" s="5"/>
      <x:c r="F19" s="5"/>
      <x:c r="G19" s="5"/>
      <x:c r="H19" s="5"/>
      <x:c r="I19" s="5"/>
      <x:c r="J19" s="5"/>
      <x:c r="K19" s="5"/>
    </x:row>
    <x:row r="20" ht="25" customHeight="1">
      <x:c r="A20" s="2" t="str">
        <x:v>Юнит экономика және бақылау</x:v>
      </x:c>
      <x:c r="B20" s="5"/>
      <x:c r="C20" s="5"/>
      <x:c r="D20" s="5"/>
      <x:c r="E20" s="5"/>
      <x:c r="F20" s="5"/>
      <x:c r="G20" s="5"/>
      <x:c r="H20" s="5"/>
      <x:c r="I20" s="5"/>
      <x:c r="J20" s="5"/>
      <x:c r="K20" s="5"/>
    </x:row>
    <x:row r="21" ht="25" customHeight="1">
      <x:c r="A21" s="2" t="str">
        <x:v>₸ / пайдаланушы-ай</x:v>
      </x:c>
      <x:c r="B21" s="5" t="n">
        <x:f>J17/B17</x:f>
        <x:v>1427.2866666666673</x:v>
      </x:c>
      <x:c r="C21" s="5"/>
      <x:c r="D21" s="5"/>
      <x:c r="E21" s="5"/>
      <x:c r="F21" s="5"/>
      <x:c r="G21" s="5"/>
      <x:c r="H21" s="5"/>
      <x:c r="I21" s="5"/>
      <x:c r="J21" s="5"/>
      <x:c r="K21" s="5"/>
    </x:row>
    <x:row r="22" ht="25" customHeight="1">
      <x:c r="A22" s="2" t="str">
        <x:v>₸ / операция</x:v>
      </x:c>
      <x:c r="B22" s="5" t="n">
        <x:f>J17/C17</x:f>
        <x:v>71.36433333333336</x:v>
      </x:c>
      <x:c r="C22" s="5"/>
      <x:c r="D22" s="5"/>
      <x:c r="E22" s="5"/>
      <x:c r="F22" s="5"/>
      <x:c r="G22" s="5"/>
      <x:c r="H22" s="5"/>
      <x:c r="I22" s="5"/>
      <x:c r="J22" s="5"/>
      <x:c r="K22" s="5"/>
    </x:row>
    <x:row r="23" ht="25" customHeight="1">
      <x:c r="A23" s="2" t="str">
        <x:v>Қолмен ₸ / операция</x:v>
      </x:c>
      <x:c r="B23" s="5" t="n">
        <x:f>K17/C17</x:f>
        <x:v>200</x:v>
      </x:c>
      <x:c r="C23" s="5"/>
      <x:c r="D23" s="5"/>
      <x:c r="E23" s="5"/>
      <x:c r="F23" s="5"/>
      <x:c r="G23" s="5"/>
      <x:c r="H23" s="5"/>
      <x:c r="I23" s="5"/>
      <x:c r="J23" s="5"/>
      <x:c r="K23" s="5"/>
    </x:row>
    <x:row r="24" ht="25" customHeight="1">
      <x:c r="A24" s="2" t="str">
        <x:v>Жылдық үнем, резервпен</x:v>
      </x:c>
      <x:c r="B24" s="5" t="n">
        <x:f>K17-J17</x:f>
        <x:v>3087255.999999999</x:v>
      </x:c>
      <x:c r="C24" s="5"/>
      <x:c r="D24" s="5"/>
      <x:c r="E24" s="5"/>
      <x:c r="F24" s="5"/>
      <x:c r="G24" s="5"/>
      <x:c r="H24" s="5"/>
      <x:c r="I24" s="5"/>
      <x:c r="J24" s="5"/>
      <x:c r="K24" s="5"/>
    </x:row>
    <x:row r="25" ht="25" customHeight="1">
      <x:c r="A25" s="2" t="str">
        <x:v>Айлық тұрақты, іске қосу үлесімен</x:v>
      </x:c>
      <x:c r="B25" s="5" t="n">
        <x:f>D6+G5/12</x:f>
        <x:v>69753.33333333334</x:v>
      </x:c>
      <x:c r="C25" s="5"/>
      <x:c r="D25" s="5"/>
      <x:c r="E25" s="5"/>
      <x:c r="F25" s="5"/>
      <x:c r="G25" s="5"/>
      <x:c r="H25" s="5"/>
      <x:c r="I25" s="5"/>
      <x:c r="J25" s="5"/>
      <x:c r="K25" s="5"/>
    </x:row>
    <x:row r="26" ht="25" customHeight="1">
      <x:c r="A26" s="2" t="str">
        <x:v>Айнымалы ₸ / операция</x:v>
      </x:c>
      <x:c r="B26" s="5" t="n">
        <x:f>(E6+F6)/C6</x:f>
        <x:v>30</x:v>
      </x:c>
      <x:c r="C26" s="5"/>
      <x:c r="D26" s="5"/>
      <x:c r="E26" s="5"/>
      <x:c r="F26" s="5"/>
      <x:c r="G26" s="5"/>
      <x:c r="H26" s="5"/>
      <x:c r="I26" s="5"/>
      <x:c r="J26" s="5"/>
      <x:c r="K26" s="5"/>
    </x:row>
    <x:row r="27" ht="25" customHeight="1">
      <x:c r="A27" s="2" t="str">
        <x:v>Теңесу көлемі, резервсіз</x:v>
      </x:c>
      <x:c r="B27" s="5" t="n">
        <x:f>B25/(B23-B26)</x:f>
        <x:v>410.31372549019613</x:v>
      </x:c>
      <x:c r="C27" s="5"/>
      <x:c r="D27" s="5"/>
      <x:c r="E27" s="5"/>
      <x:c r="F27" s="5"/>
      <x:c r="G27" s="5"/>
      <x:c r="H27" s="5"/>
      <x:c r="I27" s="5"/>
      <x:c r="J27" s="5"/>
      <x:c r="K27" s="5"/>
    </x:row>
    <x:row r="28" ht="25" customHeight="1">
      <x:c r="A28" s="2" t="str">
        <x:v>Қатаң арзанырақ көлемі, резервсіз</x:v>
      </x:c>
      <x:c r="B28" s="6" t="n">
        <x:f>INT(B27)+1</x:f>
        <x:v>411</x:v>
      </x:c>
      <x:c r="C28" s="5"/>
      <x:c r="D28" s="5"/>
      <x:c r="E28" s="5"/>
      <x:c r="F28" s="5"/>
      <x:c r="G28" s="5"/>
      <x:c r="H28" s="5"/>
      <x:c r="I28" s="5"/>
      <x:c r="J28" s="5"/>
      <x:c r="K28" s="5"/>
    </x:row>
    <x:row r="29" ht="25" customHeight="1">
      <x:c r="A29" s="2" t="str">
        <x:v>Қатаң арзанырақ көлемі, резервпен</x:v>
      </x:c>
      <x:c r="B29" s="6" t="n">
        <x:f>INT(B25*(1+'Inputs'!B22)/(B23-B26*(1+'Inputs'!B22)))+1</x:f>
        <x:v>460</x:v>
      </x:c>
      <x:c r="C29" s="5"/>
      <x:c r="D29" s="5"/>
      <x:c r="E29" s="5"/>
      <x:c r="F29" s="5"/>
      <x:c r="G29" s="5"/>
      <x:c r="H29" s="5"/>
      <x:c r="I29" s="5"/>
      <x:c r="J29" s="5"/>
      <x:c r="K29" s="5"/>
    </x:row>
    <x:row r="30" ht="25" customHeight="1">
      <x:c r="A30" s="2" t="str">
        <x:v>Қосынды айырмасы (0 дұрыс)</x:v>
      </x:c>
      <x:c r="B30" s="5" t="n">
        <x:f>J17-SUM(D17:G17)-I17</x:f>
        <x:v>1.4551915228366852e-10</x:v>
      </x:c>
      <x:c r="C30" s="5"/>
      <x:c r="D30" s="5"/>
      <x:c r="E30" s="5"/>
      <x:c r="F30" s="5"/>
      <x:c r="G30" s="5"/>
      <x:c r="H30" s="5"/>
      <x:c r="I30" s="5"/>
      <x:c r="J30" s="5"/>
      <x:c r="K30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</x:cols>
  <x:sheetData>
    <x:row r="2" ht="25" customHeight="1">
      <x:c r="A2" s="4" t="str">
        <x:v>Үш орналастыру нұсқасы — 36 айлық TCO, теңге</x:v>
      </x:c>
      <x:c r="B2" s="2"/>
      <x:c r="C2" s="2"/>
      <x:c r="D2" s="2"/>
      <x:c r="E2" s="2"/>
      <x:c r="F2" s="2"/>
    </x:row>
    <x:row r="3" ht="25" customHeight="1">
      <x:c r="A3" s="2"/>
      <x:c r="B3" s="2"/>
      <x:c r="C3" s="2"/>
      <x:c r="D3" s="2"/>
      <x:c r="E3" s="2"/>
      <x:c r="F3" s="2"/>
    </x:row>
    <x:row r="4" ht="25" customHeight="1">
      <x:c r="A4" s="9" t="str">
        <x:v>Нұсқа</x:v>
      </x:c>
      <x:c r="B4" s="9" t="str">
        <x:v>Бір рет</x:v>
      </x:c>
      <x:c r="C4" s="9" t="str">
        <x:v>Айлық</x:v>
      </x:c>
      <x:c r="D4" s="9" t="str">
        <x:v>36 ай база</x:v>
      </x:c>
      <x:c r="E4" s="9" t="str">
        <x:v>Резерв</x:v>
      </x:c>
      <x:c r="F4" s="9" t="str">
        <x:v>Қаржы шегі</x:v>
      </x:c>
    </x:row>
    <x:row r="5" ht="25" customHeight="1">
      <x:c r="A5" s="2" t="str">
        <x:v>ҚР жария бұлты</x:v>
      </x:c>
      <x:c r="B5" s="5" t="n">
        <x:f>'Budget'!G5</x:f>
        <x:v>36000</x:v>
      </x:c>
      <x:c r="C5" s="5" t="n">
        <x:f>SUM('Budget'!D6:F6)</x:f>
        <x:v>126753.33333333334</x:v>
      </x:c>
      <x:c r="D5" s="5" t="n">
        <x:f>B5+C5*'Inputs'!B32</x:f>
        <x:v>4599120</x:v>
      </x:c>
      <x:c r="E5" s="5" t="n">
        <x:f>D5*'Inputs'!B22</x:f>
        <x:v>459912</x:v>
      </x:c>
      <x:c r="F5" s="5" t="n">
        <x:f>SUM(D5:E5)</x:f>
        <x:v>5059032</x:v>
      </x:c>
    </x:row>
    <x:row r="6" ht="25" customHeight="1">
      <x:c r="A6" s="2" t="str">
        <x:v>Жеке сервер ҚР</x:v>
      </x:c>
      <x:c r="B6" s="5" t="n">
        <x:f>SUM('Inputs'!B23:B24)+'Inputs'!B25*'Inputs'!B16</x:f>
        <x:v>760000</x:v>
      </x:c>
      <x:c r="C6" s="5" t="n">
        <x:f>SUM('Inputs'!B26:B28)+'Inputs'!B29*'Inputs'!B16+'Inputs'!B13+'Inputs'!B15/12+SUM('Budget'!E6:F6)</x:f>
        <x:v>125833.33333333333</x:v>
      </x:c>
      <x:c r="D6" s="5" t="n">
        <x:f>B6+C6*'Inputs'!B32</x:f>
        <x:v>5290000</x:v>
      </x:c>
      <x:c r="E6" s="5" t="n">
        <x:f>D6*'Inputs'!B22</x:f>
        <x:v>529000</x:v>
      </x:c>
      <x:c r="F6" s="5" t="n">
        <x:f>SUM(D6:E6)</x:f>
        <x:v>5819000</x:v>
      </x:c>
    </x:row>
    <x:row r="7" ht="25" customHeight="1">
      <x:c r="A7" s="2" t="str">
        <x:v>Ұйым сервері ҚР</x:v>
      </x:c>
      <x:c r="B7" s="5" t="n">
        <x:f>'Budget'!G5</x:f>
        <x:v>36000</x:v>
      </x:c>
      <x:c r="C7" s="5" t="n">
        <x:f>'Inputs'!B30+'Inputs'!B31*'Inputs'!B16+'Inputs'!B13+'Inputs'!B15/12+SUM('Budget'!E6:F6)</x:f>
        <x:v>106833.33333333334</x:v>
      </x:c>
      <x:c r="D7" s="5" t="n">
        <x:f>B7+C7*'Inputs'!B32</x:f>
        <x:v>3882000.0000000005</x:v>
      </x:c>
      <x:c r="E7" s="5" t="n">
        <x:f>D7*'Inputs'!B22</x:f>
        <x:v>388200.00000000006</x:v>
      </x:c>
      <x:c r="F7" s="5" t="n">
        <x:f>SUM(D7:E7)</x:f>
        <x:v>4270200.000000001</x:v>
      </x:c>
    </x:row>
    <x:row r="8" ht="25" customHeight="1">
      <x:c r="A8" s="2"/>
      <x:c r="B8" s="2"/>
      <x:c r="C8" s="2"/>
      <x:c r="D8" s="2"/>
      <x:c r="E8" s="2"/>
      <x:c r="F8" s="2"/>
    </x:row>
    <x:row r="9" ht="25" customHeight="1">
      <x:c r="A9" s="2"/>
      <x:c r="B9" s="2"/>
      <x:c r="C9" s="2"/>
      <x:c r="D9" s="2"/>
      <x:c r="E9" s="2"/>
      <x:c r="F9" s="2"/>
    </x:row>
    <x:row r="10" ht="25" customHeight="1">
      <x:c r="A10" s="2" t="str">
        <x:v>Барлығында 100 MAU және айына 2 000 операция.</x:v>
      </x:c>
      <x:c r="B10" s="2"/>
      <x:c r="C10" s="2"/>
      <x:c r="D10" s="2"/>
      <x:c r="E10" s="2"/>
      <x:c r="F10" s="2"/>
    </x:row>
    <x:row r="11" ht="25" customHeight="1">
      <x:c r="A11" s="2"/>
      <x:c r="B11" s="2"/>
      <x:c r="C11" s="2"/>
      <x:c r="D11" s="2"/>
      <x:c r="E11" s="2"/>
      <x:c r="F11" s="2"/>
    </x:row>
    <x:row r="12" ht="25" customHeight="1">
      <x:c r="A12" s="2" t="str">
        <x:v>Ұйым сервері арзан, бірақ ресурс пен әкімші келісімі жоқ.</x:v>
      </x:c>
      <x:c r="B12" s="2"/>
      <x:c r="C12" s="2"/>
      <x:c r="D12" s="2"/>
      <x:c r="E12" s="2"/>
      <x:c r="F12" s="2"/>
    </x:row>
    <x:row r="13" ht="25" customHeight="1">
      <x:c r="A13" s="2"/>
      <x:c r="B13" s="2"/>
      <x:c r="C13" s="2"/>
      <x:c r="D13" s="2"/>
      <x:c r="E13" s="2"/>
      <x:c r="F13" s="2"/>
    </x:row>
    <x:row r="14" ht="25" customHeight="1">
      <x:c r="A14" s="2" t="str">
        <x:v>Шартты таңдау: ҚР бұлты; КП және қауіпсіздік тексеруі қажет.</x:v>
      </x:c>
      <x:c r="B14" s="2"/>
      <x:c r="C14" s="2"/>
      <x:c r="D14" s="2"/>
      <x:c r="E14" s="2"/>
      <x:c r="F14" s="2"/>
    </x:row>
    <x:row r="15" ht="25" customHeight="1">
      <x:c r="A15" s="2"/>
      <x:c r="B15" s="2"/>
      <x:c r="C15" s="2"/>
      <x:c r="D15" s="2"/>
      <x:c r="E15" s="2"/>
      <x:c r="F15" s="2"/>
    </x:row>
    <x:row r="16" ht="25" customHeight="1">
      <x:c r="A16" s="2" t="str">
        <x:v>Бір сервер HA емес; жария SLO нақты өлшеммен расталады.</x:v>
      </x:c>
      <x:c r="B16" s="2"/>
      <x:c r="C16" s="2"/>
      <x:c r="D16" s="2"/>
      <x:c r="E16" s="2"/>
      <x:c r="F16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19" hidden="0" customWidth="1"/>
    <x:col min="4" max="4" width="48" hidden="0" customWidth="1"/>
  </x:cols>
  <x:sheetData>
    <x:row r="2" ht="25" customHeight="1">
      <x:c r="A2" s="4" t="str">
        <x:v>Болжамдар және тарифтер 21.10.2026</x:v>
      </x:c>
      <x:c r="B2" s="2"/>
      <x:c r="C2" s="2"/>
      <x:c r="D2" s="2"/>
    </x:row>
    <x:row r="3" ht="25" customHeight="1">
      <x:c r="A3" s="2"/>
      <x:c r="B3" s="2"/>
      <x:c r="C3" s="2"/>
      <x:c r="D3" s="2"/>
    </x:row>
    <x:row r="4" ht="25" customHeight="1">
      <x:c r="A4" s="9" t="str">
        <x:v>Параметр</x:v>
      </x:c>
      <x:c r="B4" s="9" t="str">
        <x:v>Мән</x:v>
      </x:c>
      <x:c r="C4" s="9" t="str">
        <x:v>Бірлік</x:v>
      </x:c>
      <x:c r="D4" s="9" t="str">
        <x:v>Дерек негізі</x:v>
      </x:c>
    </x:row>
    <x:row r="5" ht="25" customHeight="1">
      <x:c r="A5" s="2" t="str">
        <x:v>Белсенді пайдаланушы / ай</x:v>
      </x:c>
      <x:c r="B5" s="16" t="n">
        <x:v>100</x:v>
      </x:c>
      <x:c r="C5" s="2" t="str">
        <x:v>адам</x:v>
      </x:c>
      <x:c r="D5" s="2" t="str">
        <x:v>Болжам</x:v>
      </x:c>
    </x:row>
    <x:row r="6" ht="25" customHeight="1">
      <x:c r="A6" s="2" t="str">
        <x:v>AI операция / адам / ай</x:v>
      </x:c>
      <x:c r="B6" s="16" t="n">
        <x:v>20</x:v>
      </x:c>
      <x:c r="C6" s="2" t="str">
        <x:v>операция</x:v>
      </x:c>
      <x:c r="D6" s="2" t="str">
        <x:v>Болжам</x:v>
      </x:c>
    </x:row>
    <x:row r="7" ht="25" customHeight="1">
      <x:c r="A7" s="2" t="str">
        <x:v>vCPU саны</x:v>
      </x:c>
      <x:c r="B7" s="16" t="n">
        <x:v>4</x:v>
      </x:c>
      <x:c r="C7" s="2" t="str">
        <x:v>ядро</x:v>
      </x:c>
      <x:c r="D7" s="2" t="str">
        <x:v>Пилот өлшемі; load test қажет</x:v>
      </x:c>
    </x:row>
    <x:row r="8" ht="25" customHeight="1">
      <x:c r="A8" s="2" t="str">
        <x:v>vCPU тарифі</x:v>
      </x:c>
      <x:c r="B8" s="16" t="n">
        <x:v>1990</x:v>
      </x:c>
      <x:c r="C8" s="2" t="str">
        <x:v>₸/ай</x:v>
      </x:c>
      <x:c r="D8" s="2" t="str">
        <x:v>CloudApps C1, ҚҚС 16% ішінде</x:v>
      </x:c>
    </x:row>
    <x:row r="9" ht="25" customHeight="1">
      <x:c r="A9" s="2" t="str">
        <x:v>RAM көлемі</x:v>
      </x:c>
      <x:c r="B9" s="16" t="n">
        <x:v>8</x:v>
      </x:c>
      <x:c r="C9" s="2" t="str">
        <x:v>GB</x:v>
      </x:c>
      <x:c r="D9" s="2" t="str">
        <x:v>Пилот өлшемі</x:v>
      </x:c>
    </x:row>
    <x:row r="10" ht="25" customHeight="1">
      <x:c r="A10" s="2" t="str">
        <x:v>RAM тарифі</x:v>
      </x:c>
      <x:c r="B10" s="16" t="n">
        <x:v>2330</x:v>
      </x:c>
      <x:c r="C10" s="2" t="str">
        <x:v>₸/GB/ай</x:v>
      </x:c>
      <x:c r="D10" s="2" t="str">
        <x:v>CloudApps C1</x:v>
      </x:c>
    </x:row>
    <x:row r="11" ht="25" customHeight="1">
      <x:c r="A11" s="2" t="str">
        <x:v>SSD көлемі</x:v>
      </x:c>
      <x:c r="B11" s="16" t="n">
        <x:v>80</x:v>
      </x:c>
      <x:c r="C11" s="2" t="str">
        <x:v>GB</x:v>
      </x:c>
      <x:c r="D11" s="2" t="str">
        <x:v>Пилот өлшемі</x:v>
      </x:c>
    </x:row>
    <x:row r="12" ht="25" customHeight="1">
      <x:c r="A12" s="2" t="str">
        <x:v>SSD тарифі</x:v>
      </x:c>
      <x:c r="B12" s="16" t="n">
        <x:v>104</x:v>
      </x:c>
      <x:c r="C12" s="2" t="str">
        <x:v>₸/GB/ай</x:v>
      </x:c>
      <x:c r="D12" s="2" t="str">
        <x:v>CloudApps C1</x:v>
      </x:c>
    </x:row>
    <x:row r="13" ht="25" customHeight="1">
      <x:c r="A13" s="2" t="str">
        <x:v>Backup</x:v>
      </x:c>
      <x:c r="B13" s="16" t="n">
        <x:v>4000</x:v>
      </x:c>
      <x:c r="C13" s="2" t="str">
        <x:v>₸/ай</x:v>
      </x:c>
      <x:c r="D13" s="2" t="str">
        <x:v>Сметалық болжам; тәуелсіз көшірме</x:v>
      </x:c>
    </x:row>
    <x:row r="14" ht="25" customHeight="1">
      <x:c r="A14" s="2" t="str">
        <x:v>IP және трафик</x:v>
      </x:c>
      <x:c r="B14" s="16" t="n">
        <x:v>3000</x:v>
      </x:c>
      <x:c r="C14" s="2" t="str">
        <x:v>₸/ай</x:v>
      </x:c>
      <x:c r="D14" s="2" t="str">
        <x:v>Болжам; ұсыныспен нақтылау</x:v>
      </x:c>
    </x:row>
    <x:row r="15" ht="25" customHeight="1">
      <x:c r="A15" s="2" t="str">
        <x:v>Домен</x:v>
      </x:c>
      <x:c r="B15" s="16" t="n">
        <x:v>10000</x:v>
      </x:c>
      <x:c r="C15" s="2" t="str">
        <x:v>₸/жыл</x:v>
      </x:c>
      <x:c r="D15" s="2" t="str">
        <x:v>Болжам; айларға біркелкі тарату</x:v>
      </x:c>
    </x:row>
    <x:row r="16" ht="25" customHeight="1">
      <x:c r="A16" s="2" t="str">
        <x:v>Еңбек сағаты</x:v>
      </x:c>
      <x:c r="B16" s="16" t="n">
        <x:v>3000</x:v>
      </x:c>
      <x:c r="C16" s="2" t="str">
        <x:v>₸/сағ</x:v>
      </x:c>
      <x:c r="D16" s="2" t="str">
        <x:v>Ішкі еңбек құны; нарық тарифі емес</x:v>
      </x:c>
    </x:row>
    <x:row r="17" ht="25" customHeight="1">
      <x:c r="A17" s="2" t="str">
        <x:v>Бұлтты басқару</x:v>
      </x:c>
      <x:c r="B17" s="16" t="n">
        <x:v>8</x:v>
      </x:c>
      <x:c r="C17" s="2" t="str">
        <x:v>сағ/ай</x:v>
      </x:c>
      <x:c r="D17" s="2" t="str">
        <x:v>Болжам</x:v>
      </x:c>
    </x:row>
    <x:row r="18" ht="25" customHeight="1">
      <x:c r="A18" s="2" t="str">
        <x:v>AI API</x:v>
      </x:c>
      <x:c r="B18" s="16" t="n">
        <x:v>5</x:v>
      </x:c>
      <x:c r="C18" s="2" t="str">
        <x:v>₸/операция</x:v>
      </x:c>
      <x:c r="D18" s="2" t="str">
        <x:v>Болжам; токен, retry және FX қорымен</x:v>
      </x:c>
    </x:row>
    <x:row r="19" ht="25" customHeight="1">
      <x:c r="A19" s="2" t="str">
        <x:v>Адам тексеруі</x:v>
      </x:c>
      <x:c r="B19" s="16" t="n">
        <x:v>0.5</x:v>
      </x:c>
      <x:c r="C19" s="2" t="str">
        <x:v>мин/операция</x:v>
      </x:c>
      <x:c r="D19" s="2" t="str">
        <x:v>Орташа болжам</x:v>
      </x:c>
    </x:row>
    <x:row r="20" ht="25" customHeight="1">
      <x:c r="A20" s="2" t="str">
        <x:v>Толық қолмен орындау</x:v>
      </x:c>
      <x:c r="B20" s="16" t="n">
        <x:v>4</x:v>
      </x:c>
      <x:c r="C20" s="2" t="str">
        <x:v>мин/операция</x:v>
      </x:c>
      <x:c r="D20" s="2" t="str">
        <x:v>Бірдей сападағы балама; өлшеу қажет</x:v>
      </x:c>
    </x:row>
    <x:row r="21" ht="25" customHeight="1">
      <x:c r="A21" s="2" t="str">
        <x:v>Іске қосу</x:v>
      </x:c>
      <x:c r="B21" s="16" t="n">
        <x:v>12</x:v>
      </x:c>
      <x:c r="C21" s="2" t="str">
        <x:v>сағ</x:v>
      </x:c>
      <x:c r="D21" s="2" t="str">
        <x:v>Бір реттік эксплуатациялық баптау</x:v>
      </x:c>
    </x:row>
    <x:row r="22" ht="25" customHeight="1">
      <x:c r="A22" s="2" t="str">
        <x:v>Ақшалай резерв</x:v>
      </x:c>
      <x:c r="B22" s="17" t="n">
        <x:v>0.1</x:v>
      </x:c>
      <x:c r="C22" s="2" t="str">
        <x:v>үлес</x:v>
      </x:c>
      <x:c r="D22" s="2" t="str">
        <x:v>10%; ЛЗ7 сағат резервінен бөлек</x:v>
      </x:c>
    </x:row>
    <x:row r="23" ht="25" customHeight="1">
      <x:c r="A23" s="2" t="str">
        <x:v>Жеке сервер</x:v>
      </x:c>
      <x:c r="B23" s="16" t="n">
        <x:v>600000</x:v>
      </x:c>
      <x:c r="C23" s="2" t="str">
        <x:v>₸</x:v>
      </x:c>
      <x:c r="D23" s="2" t="str">
        <x:v>Сметалық болжам</x:v>
      </x:c>
    </x:row>
    <x:row r="24" ht="25" customHeight="1">
      <x:c r="A24" s="2" t="str">
        <x:v>UPS</x:v>
      </x:c>
      <x:c r="B24" s="16" t="n">
        <x:v>100000</x:v>
      </x:c>
      <x:c r="C24" s="2" t="str">
        <x:v>₸</x:v>
      </x:c>
      <x:c r="D24" s="2" t="str">
        <x:v>Сметалық болжам</x:v>
      </x:c>
    </x:row>
    <x:row r="25" ht="25" customHeight="1">
      <x:c r="A25" s="2" t="str">
        <x:v>Жеке серверді орнату</x:v>
      </x:c>
      <x:c r="B25" s="16" t="n">
        <x:v>20</x:v>
      </x:c>
      <x:c r="C25" s="2" t="str">
        <x:v>сағ</x:v>
      </x:c>
      <x:c r="D25" s="2" t="str">
        <x:v>Болжам</x:v>
      </x:c>
    </x:row>
    <x:row r="26" ht="25" customHeight="1">
      <x:c r="A26" s="2" t="str">
        <x:v>Электр</x:v>
      </x:c>
      <x:c r="B26" s="16" t="n">
        <x:v>3000</x:v>
      </x:c>
      <x:c r="C26" s="2" t="str">
        <x:v>₸/ай</x:v>
      </x:c>
      <x:c r="D26" s="2" t="str">
        <x:v>Болжам</x:v>
      </x:c>
    </x:row>
    <x:row r="27" ht="25" customHeight="1">
      <x:c r="A27" s="2" t="str">
        <x:v>Интернет</x:v>
      </x:c>
      <x:c r="B27" s="16" t="n">
        <x:v>8000</x:v>
      </x:c>
      <x:c r="C27" s="2" t="str">
        <x:v>₸/ай</x:v>
      </x:c>
      <x:c r="D27" s="2" t="str">
        <x:v>Болжам</x:v>
      </x:c>
    </x:row>
    <x:row r="28" ht="25" customHeight="1">
      <x:c r="A28" s="2" t="str">
        <x:v>Жөндеу қоры</x:v>
      </x:c>
      <x:c r="B28" s="16" t="n">
        <x:v>2000</x:v>
      </x:c>
      <x:c r="C28" s="2" t="str">
        <x:v>₸/ай</x:v>
      </x:c>
      <x:c r="D28" s="2" t="str">
        <x:v>Болжам</x:v>
      </x:c>
    </x:row>
    <x:row r="29" ht="25" customHeight="1">
      <x:c r="A29" s="2" t="str">
        <x:v>Жеке сервер әкімшілігі</x:v>
      </x:c>
      <x:c r="B29" s="16" t="n">
        <x:v>16</x:v>
      </x:c>
      <x:c r="C29" s="2" t="str">
        <x:v>сағ/ай</x:v>
      </x:c>
      <x:c r="D29" s="2" t="str">
        <x:v>Болжам</x:v>
      </x:c>
    </x:row>
    <x:row r="30" ht="25" customHeight="1">
      <x:c r="A30" s="2" t="str">
        <x:v>Ұйым ресурсының үлесі</x:v>
      </x:c>
      <x:c r="B30" s="16" t="n">
        <x:v>12000</x:v>
      </x:c>
      <x:c r="C30" s="2" t="str">
        <x:v>₸/ай</x:v>
      </x:c>
      <x:c r="D30" s="2" t="str">
        <x:v>Ішкі бөлу; электр/желі ішінде</x:v>
      </x:c>
    </x:row>
    <x:row r="31" ht="25" customHeight="1">
      <x:c r="A31" s="2" t="str">
        <x:v>Ұйым әкімшілігі</x:v>
      </x:c>
      <x:c r="B31" s="16" t="n">
        <x:v>10</x:v>
      </x:c>
      <x:c r="C31" s="2" t="str">
        <x:v>сағ/ай</x:v>
      </x:c>
      <x:c r="D31" s="2" t="str">
        <x:v>Болжам</x:v>
      </x:c>
    </x:row>
    <x:row r="32" ht="25" customHeight="1">
      <x:c r="A32" s="2" t="str">
        <x:v>TCO кезеңі</x:v>
      </x:c>
      <x:c r="B32" s="16" t="n">
        <x:v>36</x:v>
      </x:c>
      <x:c r="C32" s="2" t="str">
        <x:v>ай</x:v>
      </x:c>
      <x:c r="D32" s="2" t="str">
        <x:v>Баға тұрақты; дисконт/инфляция жоқ</x:v>
      </x:c>
    </x:row>
    <x:row r="33" ht="25" customHeight="1">
      <x:c r="A33" s="2"/>
      <x:c r="B33" s="2"/>
      <x:c r="C33" s="2"/>
      <x:c r="D33" s="2"/>
    </x:row>
    <x:row r="34" ht="25" customHeight="1">
      <x:c r="A34" s="2" t="str">
        <x:v>CloudApps жария калькуляторы — тариф көзі</x:v>
      </x:c>
      <x:c r="B34" s="2"/>
      <x:c r="C34" s="2"/>
      <x:c r="D34" s="2"/>
    </x:row>
    <x:row r="35" ht="25" customHeight="1">
      <x:c r="A35" s="2" t="str">
        <x:v>https://cloudapps.kz/kalkulyator-resursov/</x:v>
      </x:c>
      <x:c r="B35" s="2"/>
      <x:c r="C35" s="2"/>
      <x:c r="D35" s="2"/>
    </x:row>
    <x:row r="36" ht="25" customHeight="1">
      <x:c r="A36" s="2"/>
      <x:c r="B36" s="2"/>
      <x:c r="C36" s="2"/>
      <x:c r="D36" s="2"/>
    </x:row>
    <x:row r="37" ht="25" customHeight="1">
      <x:c r="A37" s="2" t="str">
        <x:v>Көк мәндер өзгертіледі. Бұл сатып алу тапсырысы емес.</x:v>
      </x:c>
      <x:c r="B37" s="2"/>
      <x:c r="C37" s="2"/>
      <x:c r="D37" s="2"/>
    </x:row>
  </x:sheetData>
  <x:pageMargins left="0.7" right="0.7" top="0.75" bottom="0.75" header="0.3" footer="0.3"/>
</x:worksheet>
</file>